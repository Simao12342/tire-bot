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Шини" sheetId="1" r:id="rId1"/>
  </sheets>
  <definedNames>
    <definedName name="_xlnm._FilterDatabase" localSheetId="0" hidden="1">Шини!$A$3:$E$176</definedName>
  </definedNames>
  <calcPr calcId="125725" iterateDelta="1E-4"/>
</workbook>
</file>

<file path=xl/calcChain.xml><?xml version="1.0" encoding="utf-8"?>
<calcChain xmlns="http://schemas.openxmlformats.org/spreadsheetml/2006/main">
  <c r="E177" i="1"/>
  <c r="C8"/>
  <c r="C9"/>
  <c r="C12"/>
  <c r="C13"/>
  <c r="C14"/>
  <c r="C24"/>
  <c r="C25"/>
  <c r="C26"/>
  <c r="C28"/>
  <c r="C33"/>
  <c r="C34"/>
  <c r="C35"/>
  <c r="C36"/>
  <c r="C37"/>
  <c r="C38"/>
  <c r="C39"/>
  <c r="C40"/>
  <c r="C41"/>
  <c r="C42"/>
  <c r="C43"/>
  <c r="C44"/>
  <c r="C45"/>
  <c r="C46"/>
  <c r="C47"/>
  <c r="C50"/>
  <c r="C52"/>
  <c r="C53"/>
  <c r="C55"/>
  <c r="C56"/>
  <c r="C59"/>
  <c r="C60"/>
  <c r="C62"/>
  <c r="C64"/>
  <c r="C65"/>
  <c r="C67"/>
  <c r="C71"/>
  <c r="C72"/>
  <c r="C89"/>
  <c r="C114"/>
  <c r="C115"/>
  <c r="C116"/>
  <c r="C117"/>
  <c r="C118"/>
  <c r="C119"/>
  <c r="C120"/>
  <c r="C121"/>
  <c r="C122"/>
  <c r="C123"/>
  <c r="C124"/>
  <c r="C125"/>
  <c r="C176"/>
  <c r="C175"/>
  <c r="C174"/>
  <c r="C173"/>
  <c r="C172"/>
  <c r="C171"/>
  <c r="C170"/>
  <c r="C169"/>
  <c r="C168"/>
  <c r="C167"/>
  <c r="C166"/>
  <c r="C165"/>
  <c r="C164"/>
  <c r="C163"/>
  <c r="C162"/>
  <c r="C161"/>
</calcChain>
</file>

<file path=xl/sharedStrings.xml><?xml version="1.0" encoding="utf-8"?>
<sst xmlns="http://schemas.openxmlformats.org/spreadsheetml/2006/main" count="337" uniqueCount="110">
  <si>
    <t>Специфікація замовлення шин</t>
  </si>
  <si>
    <t>№ палети</t>
  </si>
  <si>
    <t>Код товару</t>
  </si>
  <si>
    <t>Розмір</t>
  </si>
  <si>
    <t>Тип (модель) резини</t>
  </si>
  <si>
    <t>Кількість, шт.</t>
  </si>
  <si>
    <t>Автошина 175/65R14 82T AOSEN DW02, зима</t>
  </si>
  <si>
    <t>Автошина 215/55R17 94S AOSEN HW518+, зима</t>
  </si>
  <si>
    <t>Автошина 205/55R16 91T AOSEN HW518+, зима</t>
  </si>
  <si>
    <t>Автошина 215/65R16 98T AOSEN HW518, зима</t>
  </si>
  <si>
    <t>Автошина 205/55R16 91R MARSHAL KW31  ,зима</t>
  </si>
  <si>
    <t>Автошина 205/55R16 PREMIORRI Vimero 4Seasons 94V XL, літо</t>
  </si>
  <si>
    <t>Автошина 185/60R14 82T TRIANGLE TR777,зима</t>
  </si>
  <si>
    <t>Автошина 215/55R17 98V PETLAS SNOWMASTER 2 SPORT XL,зима</t>
  </si>
  <si>
    <t>Автошина 185/65R14 86T TRIANGLE TR777</t>
  </si>
  <si>
    <t>Автошина 185/65R15 88T Horizon HW508, зима</t>
  </si>
  <si>
    <t>Автошина 215/55R17 PETLAS W661 98T,зима</t>
  </si>
  <si>
    <t>Автошина 205/55R16 91T PETLAS W661,зима</t>
  </si>
  <si>
    <t>Автошина 205/65R15 MARSHAL KW31 99R,зима</t>
  </si>
  <si>
    <t>Автошина 195/65R15 91T Premiorri ViaMaggiore, зима</t>
  </si>
  <si>
    <t>Автошина 205/55R16 91T Premiorri ViaMaggiore, зима</t>
  </si>
  <si>
    <t>Автошина 195/65/R15 91H PREMIORRI VIAMAGGIORE Z PLUS,зима</t>
  </si>
  <si>
    <t>Автошина 185/70R14 88T TRIANGLE TW401,зима</t>
  </si>
  <si>
    <t>Автошина 205/55R16 91H PREMIORRI VIAMAGGIORI Z PLUS,зима</t>
  </si>
  <si>
    <t>Автошина 185/65R15 88H PREMIORRI VIAMAGGIORE Z PLUS,зима</t>
  </si>
  <si>
    <t>Автошина 205/60/R16 92H PREMIORRI VIAMAGGIORE Z PLUS,зима</t>
  </si>
  <si>
    <t>Автошина 195/65R15 TRIANGLE TR777 91T,зима</t>
  </si>
  <si>
    <t>Автошина 205/60R16 96R TRIANGLE PL01</t>
  </si>
  <si>
    <t>Автошина 175/65R14 82T Premiorri ViaMaggiore, зима</t>
  </si>
  <si>
    <t>Автошина 175/70R13 82T TRIANGLE TR777 , зима</t>
  </si>
  <si>
    <t>Автошина 185/65R15 TRIANGLE TR777 92T, XLзима</t>
  </si>
  <si>
    <t>Автошина 185/60R14 82T Premiorri ViaMaggiore, зима</t>
  </si>
  <si>
    <t>Автошина 215/65R16 102H TRIANGLE TW401 XL,зима</t>
  </si>
  <si>
    <t>Автошина 175/70R13 82T Premiorri ViaMaggiore, зима</t>
  </si>
  <si>
    <t>вітрина вулиця</t>
  </si>
  <si>
    <t>Автошина 175/65R14 86T TRIANGLE TR777 XL,зима</t>
  </si>
  <si>
    <t>Автошина 175/70R14 88T TRIANGLE TR777 XL,зима</t>
  </si>
  <si>
    <t>Автошина 185/60R15 XL 88H POWERTRAC SNOWTOUR PRO, зима</t>
  </si>
  <si>
    <t>Автошина 195/65R15 HANKOOK 95T XL W636,зима</t>
  </si>
  <si>
    <t>Автошина 175/70R14 88T ESTRADA Winterri,зима</t>
  </si>
  <si>
    <t>Автошина 215/55R16 93T AOSEN HW518, зима</t>
  </si>
  <si>
    <t>Автошина 225/50R17 94T AOSEN HW518, зима</t>
  </si>
  <si>
    <t>Автошина 185/65R14 Estrada Samurai 86T , зима</t>
  </si>
  <si>
    <t>Автошина 195/65R15 MATADOR MP62 ALL WHETHER EVO 91H, всесезона</t>
  </si>
  <si>
    <t>Автошина 205/65R15 94H POWERTRAC SNOWTOUR PRO,зима</t>
  </si>
  <si>
    <t>Автошина 175/65R14 86T HANKOOK W462 XL,зима</t>
  </si>
  <si>
    <t>Автошина 175/65R14 82T PETLAS W661,зима</t>
  </si>
  <si>
    <t>Автошина 175/70R13 82T PETLAS W661 , зима</t>
  </si>
  <si>
    <t>Автошина 205/55R16 91T Horizon HW508, зима</t>
  </si>
  <si>
    <t>Автошина 175/70R13 82T Rosava БЦ-20, всесезонка</t>
  </si>
  <si>
    <t>Автошина 175/65R14 82T PETLAS SNOWMASTER 2,зима</t>
  </si>
  <si>
    <t>Автошина 155/70R13 75T TRIANGLE TR777</t>
  </si>
  <si>
    <t>Автошина 155/70R13 Estrada Samurai 75T, зима</t>
  </si>
  <si>
    <t>палети фасад</t>
  </si>
  <si>
    <t>Автошина 195/65R15 91T PETLAS W661, зима</t>
  </si>
  <si>
    <t>Автошина 185/65R14 HIFLY WIN-TURI 212 86T,зима</t>
  </si>
  <si>
    <t>Автошина 195/65R15 91T AOSEN HW518+, зима</t>
  </si>
  <si>
    <t>Автошина 195/65R15 HIFLY WIN-TURI 212 91T,зима</t>
  </si>
  <si>
    <t>Автошина 205/55R16 HIFLY WIN-TURI 212 91H,зима</t>
  </si>
  <si>
    <t>Автошина 205/60R16 92T AOSEN HW518+, зима</t>
  </si>
  <si>
    <t>Автошина 205/60R16 HIFLY WIN-TURI 212 92H,зима</t>
  </si>
  <si>
    <t>Автошина 205/65R15 HIFLY WIN-TURI 212 94H,зима</t>
  </si>
  <si>
    <t>Автошина 215/60R17 HIFLY WIN-TURI 212 96H,зима</t>
  </si>
  <si>
    <t>Автошина 225/55R17 HIFLY WIN-TURI 216 101H, XL,зима</t>
  </si>
  <si>
    <t>Автошина 175/70R13 82T PETLAS SNOWMASTER 2, зима</t>
  </si>
  <si>
    <t>Автошина 185/60R14 82H PETLAS SNOWMASTER 2,зима</t>
  </si>
  <si>
    <t>Автошина 185/65R14  86T PETLAS SNOWMASTER 2,зима</t>
  </si>
  <si>
    <t>Автошина 175/65R14 HIFLY WIN-TURI 212 82T,зима</t>
  </si>
  <si>
    <t>Автошина 175/70R13 HIFLY WIN-TURI 212 82T,зима</t>
  </si>
  <si>
    <t xml:space="preserve">Автошина 185/65R14 86T TRIANGLE TR777 </t>
  </si>
  <si>
    <t>Автошина 185/60R15 XL 88H TRIANGLE TW401 , зима</t>
  </si>
  <si>
    <t>Автошина 205/60R16 96T ESTRADA WINTERRI WE XL</t>
  </si>
  <si>
    <t>Автошина 165/70R14 81T POWERTRAC SNOWTOUR PRO XL 85T, зима</t>
  </si>
  <si>
    <t>Автошина 185/65R14 86T POWERTRAC SNOWTOUR PRO,зима</t>
  </si>
  <si>
    <t>Автошина 175/65R14 86H PREMIORRI Vimero 4Seasons, в.с</t>
  </si>
  <si>
    <t>Автошина 205/65R16H 95H  HANKOOK W462, зима</t>
  </si>
  <si>
    <t>Автошина 205/65R15 94T PETLAS W661,зима</t>
  </si>
  <si>
    <t>Автошина 195/65R15 PREMIORRI Vimero 4Seasons</t>
  </si>
  <si>
    <t>Автошина 215/60R16 99H ESTRADA WINTERRI WE XL,зима</t>
  </si>
  <si>
    <t>Автошина 185/60R14  82T POWERTRAC SNOWTOUR PRO, зима</t>
  </si>
  <si>
    <t>Автошина 185/70R14  88T  ROSAVA SNOWGARD,зима</t>
  </si>
  <si>
    <t>Автошина 175/70R14  84T ROSAVA SNOWGARD,зима</t>
  </si>
  <si>
    <t>Автошина 185/65R14 TRIANGLE TR777 86T,зима</t>
  </si>
  <si>
    <t>Автошина 205/55R16 94H HANKOOK W636 XL,зима</t>
  </si>
  <si>
    <t>Автошина 185/65R15 HIFLY WIN-TURI 212 88T,зима</t>
  </si>
  <si>
    <t>Автошина 215/65R16 102T HANKOOK W636 XL,зима</t>
  </si>
  <si>
    <t>Автошина 185/65R15 92R MARSHAL KW31 XL ,зима</t>
  </si>
  <si>
    <t>Автошина 185/60R15 PETLAS W661 88T,зима</t>
  </si>
  <si>
    <t>Автошина 185/65R15 88T PETLAS W661, зима</t>
  </si>
  <si>
    <t>175/65R14</t>
  </si>
  <si>
    <t>215/55R17</t>
  </si>
  <si>
    <t>205/55R16</t>
  </si>
  <si>
    <t>215/65R16</t>
  </si>
  <si>
    <t>185/60R14</t>
  </si>
  <si>
    <t>185/65R14</t>
  </si>
  <si>
    <t>185/65R15</t>
  </si>
  <si>
    <t>205/65R15</t>
  </si>
  <si>
    <t>195/65R15</t>
  </si>
  <si>
    <t>195/65/R1</t>
  </si>
  <si>
    <t>185/70R14</t>
  </si>
  <si>
    <t>205/60/R1</t>
  </si>
  <si>
    <t>205/60R16</t>
  </si>
  <si>
    <t>175/70R13</t>
  </si>
  <si>
    <t>175/70R14</t>
  </si>
  <si>
    <t>185/60R15</t>
  </si>
  <si>
    <t>215/55R16</t>
  </si>
  <si>
    <t>225/50R17</t>
  </si>
  <si>
    <t>155/70R13</t>
  </si>
  <si>
    <t>215/60R17</t>
  </si>
  <si>
    <t>225/55R17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</si>
</sst>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u/>
      <sz val="11"/>
      <color rgb="FF0000FF"/>
      <name val="Aptos Narrow"/>
      <charset val="1"/>
    </font>
    <font>
      <sz val="11"/>
      <name val="Aptos Narrow"/>
      <charset val="1"/>
    </font>
    <font>
      <b/>
      <sz val="16"/>
      <color rgb="FF1F4E78"/>
      <name val="Calibri"/>
      <charset val="1"/>
    </font>
    <font>
      <sz val="10"/>
      <color rgb="FF000000"/>
      <name val="Calibri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Border="0">
      <alignment vertical="center"/>
    </xf>
    <xf numFmtId="0" fontId="3" fillId="0" borderId="0"/>
    <xf numFmtId="0" fontId="5" fillId="0" borderId="0"/>
  </cellStyleXfs>
  <cellXfs count="23">
    <xf numFmtId="0" fontId="0" fillId="0" borderId="0" xfId="0"/>
    <xf numFmtId="0" fontId="4" fillId="0" borderId="0" xfId="0" applyFont="1" applyBorder="1" applyAlignment="1" applyProtection="1">
      <alignment horizontal="left" vertical="center"/>
    </xf>
    <xf numFmtId="0" fontId="0" fillId="0" borderId="0" xfId="0" applyAlignment="1" applyProtection="1"/>
    <xf numFmtId="1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1" fontId="8" fillId="0" borderId="1" xfId="0" applyNumberFormat="1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left" vertical="center"/>
    </xf>
    <xf numFmtId="3" fontId="7" fillId="3" borderId="1" xfId="0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3" fontId="7" fillId="4" borderId="1" xfId="0" applyNumberFormat="1" applyFont="1" applyFill="1" applyBorder="1" applyAlignment="1" applyProtection="1">
      <alignment horizontal="center" vertical="center"/>
    </xf>
    <xf numFmtId="1" fontId="7" fillId="3" borderId="1" xfId="0" applyNumberFormat="1" applyFont="1" applyFill="1" applyBorder="1" applyAlignment="1" applyProtection="1">
      <alignment horizontal="center" vertical="center"/>
    </xf>
    <xf numFmtId="1" fontId="7" fillId="4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wrapText="1"/>
    </xf>
    <xf numFmtId="0" fontId="8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/>
    </xf>
    <xf numFmtId="0" fontId="1" fillId="0" borderId="1" xfId="3" applyFont="1" applyBorder="1" applyAlignment="1">
      <alignment horizontal="center"/>
    </xf>
    <xf numFmtId="0" fontId="1" fillId="0" borderId="1" xfId="3" applyFont="1" applyBorder="1" applyAlignment="1"/>
    <xf numFmtId="3" fontId="9" fillId="0" borderId="0" xfId="0" applyNumberFormat="1" applyFont="1" applyAlignment="1" applyProtection="1">
      <alignment horizontal="center" vertical="center"/>
    </xf>
  </cellXfs>
  <cellStyles count="4">
    <cellStyle name="HyperLink 1" xfId="1"/>
    <cellStyle name="Обычный" xfId="0" builtinId="0"/>
    <cellStyle name="Обычный 2" xfId="2"/>
    <cellStyle name="Обычный 3" xfId="3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D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topLeftCell="A172" zoomScaleNormal="100" workbookViewId="0">
      <selection activeCell="C147" sqref="C147"/>
    </sheetView>
  </sheetViews>
  <sheetFormatPr defaultColWidth="8.7109375" defaultRowHeight="15"/>
  <cols>
    <col min="1" max="1" width="14.85546875" style="4" customWidth="1"/>
    <col min="2" max="2" width="15" style="3" customWidth="1"/>
    <col min="3" max="3" width="16.7109375" style="4" customWidth="1"/>
    <col min="4" max="4" width="75.42578125" style="2" customWidth="1"/>
    <col min="5" max="5" width="5.28515625" style="5" customWidth="1"/>
    <col min="6" max="6" width="10.42578125" style="2" customWidth="1"/>
  </cols>
  <sheetData>
    <row r="1" spans="1:5" ht="21">
      <c r="A1" s="1" t="s">
        <v>0</v>
      </c>
      <c r="B1" s="1"/>
      <c r="C1" s="1"/>
      <c r="D1" s="1"/>
      <c r="E1" s="1"/>
    </row>
    <row r="3" spans="1:5" ht="45">
      <c r="A3" s="6" t="s">
        <v>1</v>
      </c>
      <c r="B3" s="7" t="s">
        <v>2</v>
      </c>
      <c r="C3" s="6" t="s">
        <v>3</v>
      </c>
      <c r="D3" s="6" t="s">
        <v>4</v>
      </c>
      <c r="E3" s="6" t="s">
        <v>5</v>
      </c>
    </row>
    <row r="4" spans="1:5">
      <c r="A4" s="8">
        <v>1</v>
      </c>
      <c r="B4" s="9">
        <v>40769150</v>
      </c>
      <c r="C4" s="10" t="s">
        <v>89</v>
      </c>
      <c r="D4" s="11" t="s">
        <v>6</v>
      </c>
      <c r="E4" s="12">
        <v>6</v>
      </c>
    </row>
    <row r="5" spans="1:5">
      <c r="A5" s="13">
        <v>1</v>
      </c>
      <c r="B5" s="9">
        <v>40769158</v>
      </c>
      <c r="C5" s="10" t="s">
        <v>90</v>
      </c>
      <c r="D5" s="11" t="s">
        <v>7</v>
      </c>
      <c r="E5" s="14">
        <v>7</v>
      </c>
    </row>
    <row r="6" spans="1:5">
      <c r="A6" s="13">
        <v>2</v>
      </c>
      <c r="B6" s="9">
        <v>40769154</v>
      </c>
      <c r="C6" s="10" t="s">
        <v>91</v>
      </c>
      <c r="D6" s="11" t="s">
        <v>8</v>
      </c>
      <c r="E6" s="14">
        <v>11</v>
      </c>
    </row>
    <row r="7" spans="1:5">
      <c r="A7" s="8">
        <v>2</v>
      </c>
      <c r="B7" s="9">
        <v>40769157</v>
      </c>
      <c r="C7" s="10" t="s">
        <v>92</v>
      </c>
      <c r="D7" s="11" t="s">
        <v>9</v>
      </c>
      <c r="E7" s="12">
        <v>1</v>
      </c>
    </row>
    <row r="8" spans="1:5">
      <c r="A8" s="20">
        <v>2</v>
      </c>
      <c r="B8" s="20">
        <v>40714805</v>
      </c>
      <c r="C8" s="10" t="str">
        <f>MID(D8,10,9)</f>
        <v>185/65R14</v>
      </c>
      <c r="D8" s="21" t="s">
        <v>14</v>
      </c>
      <c r="E8" s="20">
        <v>3</v>
      </c>
    </row>
    <row r="9" spans="1:5">
      <c r="A9" s="20">
        <v>2</v>
      </c>
      <c r="B9" s="20">
        <v>40763672</v>
      </c>
      <c r="C9" s="10" t="str">
        <f>MID(D9,10,9)</f>
        <v>185/60R15</v>
      </c>
      <c r="D9" s="21" t="s">
        <v>70</v>
      </c>
      <c r="E9" s="20">
        <v>1</v>
      </c>
    </row>
    <row r="10" spans="1:5">
      <c r="A10" s="13">
        <v>3</v>
      </c>
      <c r="B10" s="9">
        <v>40763675</v>
      </c>
      <c r="C10" s="10" t="s">
        <v>91</v>
      </c>
      <c r="D10" s="11" t="s">
        <v>10</v>
      </c>
      <c r="E10" s="14">
        <v>5</v>
      </c>
    </row>
    <row r="11" spans="1:5">
      <c r="A11" s="8">
        <v>3</v>
      </c>
      <c r="B11" s="9">
        <v>40769020</v>
      </c>
      <c r="C11" s="10" t="s">
        <v>91</v>
      </c>
      <c r="D11" s="11" t="s">
        <v>11</v>
      </c>
      <c r="E11" s="12">
        <v>4</v>
      </c>
    </row>
    <row r="12" spans="1:5">
      <c r="A12" s="20">
        <v>3</v>
      </c>
      <c r="B12" s="20">
        <v>40745723</v>
      </c>
      <c r="C12" s="10" t="str">
        <f>MID(D12,10,9)</f>
        <v>205/60R16</v>
      </c>
      <c r="D12" s="21" t="s">
        <v>71</v>
      </c>
      <c r="E12" s="20">
        <v>1</v>
      </c>
    </row>
    <row r="13" spans="1:5">
      <c r="A13" s="20">
        <v>3</v>
      </c>
      <c r="B13" s="20">
        <v>40745645</v>
      </c>
      <c r="C13" s="10" t="str">
        <f>MID(D13,10,9)</f>
        <v>175/70R14</v>
      </c>
      <c r="D13" s="21" t="s">
        <v>39</v>
      </c>
      <c r="E13" s="20">
        <v>2</v>
      </c>
    </row>
    <row r="14" spans="1:5">
      <c r="A14" s="20">
        <v>3</v>
      </c>
      <c r="B14" s="20">
        <v>40763645</v>
      </c>
      <c r="C14" s="10" t="str">
        <f>MID(D14,10,9)</f>
        <v>165/70R14</v>
      </c>
      <c r="D14" s="21" t="s">
        <v>72</v>
      </c>
      <c r="E14" s="20">
        <v>3</v>
      </c>
    </row>
    <row r="15" spans="1:5">
      <c r="A15" s="8">
        <v>4</v>
      </c>
      <c r="B15" s="9">
        <v>40745905</v>
      </c>
      <c r="C15" s="10" t="s">
        <v>93</v>
      </c>
      <c r="D15" s="11" t="s">
        <v>12</v>
      </c>
      <c r="E15" s="12">
        <v>1</v>
      </c>
    </row>
    <row r="16" spans="1:5">
      <c r="A16" s="8">
        <v>4</v>
      </c>
      <c r="B16" s="9">
        <v>40763762</v>
      </c>
      <c r="C16" s="10" t="s">
        <v>90</v>
      </c>
      <c r="D16" s="11" t="s">
        <v>13</v>
      </c>
      <c r="E16" s="12">
        <v>1</v>
      </c>
    </row>
    <row r="17" spans="1:5">
      <c r="A17" s="13">
        <v>4</v>
      </c>
      <c r="B17" s="9">
        <v>40714805</v>
      </c>
      <c r="C17" s="10" t="s">
        <v>94</v>
      </c>
      <c r="D17" s="11" t="s">
        <v>14</v>
      </c>
      <c r="E17" s="14">
        <v>1</v>
      </c>
    </row>
    <row r="18" spans="1:5">
      <c r="A18" s="13">
        <v>4</v>
      </c>
      <c r="B18" s="9">
        <v>40763763</v>
      </c>
      <c r="C18" s="10" t="s">
        <v>95</v>
      </c>
      <c r="D18" s="11" t="s">
        <v>15</v>
      </c>
      <c r="E18" s="14">
        <v>1</v>
      </c>
    </row>
    <row r="19" spans="1:5">
      <c r="A19" s="8">
        <v>4</v>
      </c>
      <c r="B19" s="15">
        <v>40745813</v>
      </c>
      <c r="C19" s="10" t="s">
        <v>90</v>
      </c>
      <c r="D19" s="11" t="s">
        <v>16</v>
      </c>
      <c r="E19" s="12">
        <v>2</v>
      </c>
    </row>
    <row r="20" spans="1:5">
      <c r="A20" s="13">
        <v>4</v>
      </c>
      <c r="B20" s="9">
        <v>40745754</v>
      </c>
      <c r="C20" s="10" t="s">
        <v>91</v>
      </c>
      <c r="D20" s="11" t="s">
        <v>17</v>
      </c>
      <c r="E20" s="14">
        <v>1</v>
      </c>
    </row>
    <row r="21" spans="1:5">
      <c r="A21" s="8">
        <v>4</v>
      </c>
      <c r="B21" s="9">
        <v>40763779</v>
      </c>
      <c r="C21" s="10" t="s">
        <v>96</v>
      </c>
      <c r="D21" s="11" t="s">
        <v>18</v>
      </c>
      <c r="E21" s="12">
        <v>1</v>
      </c>
    </row>
    <row r="22" spans="1:5">
      <c r="A22" s="13">
        <v>4</v>
      </c>
      <c r="B22" s="9">
        <v>40745801</v>
      </c>
      <c r="C22" s="10" t="s">
        <v>90</v>
      </c>
      <c r="D22" s="11" t="s">
        <v>16</v>
      </c>
      <c r="E22" s="14">
        <v>2</v>
      </c>
    </row>
    <row r="23" spans="1:5">
      <c r="A23" s="8">
        <v>4</v>
      </c>
      <c r="B23" s="15">
        <v>40745803</v>
      </c>
      <c r="C23" s="10" t="s">
        <v>90</v>
      </c>
      <c r="D23" s="11" t="s">
        <v>16</v>
      </c>
      <c r="E23" s="12">
        <v>1</v>
      </c>
    </row>
    <row r="24" spans="1:5">
      <c r="A24" s="20">
        <v>4</v>
      </c>
      <c r="B24" s="20">
        <v>40763628</v>
      </c>
      <c r="C24" s="10" t="str">
        <f>MID(D24,10,9)</f>
        <v>185/65R14</v>
      </c>
      <c r="D24" s="21" t="s">
        <v>73</v>
      </c>
      <c r="E24" s="20">
        <v>1</v>
      </c>
    </row>
    <row r="25" spans="1:5">
      <c r="A25" s="20">
        <v>4</v>
      </c>
      <c r="B25" s="20">
        <v>40763807</v>
      </c>
      <c r="C25" s="10" t="str">
        <f>MID(D25,10,9)</f>
        <v>175/65R14</v>
      </c>
      <c r="D25" s="21" t="s">
        <v>74</v>
      </c>
      <c r="E25" s="20">
        <v>1</v>
      </c>
    </row>
    <row r="26" spans="1:5">
      <c r="A26" s="20">
        <v>4</v>
      </c>
      <c r="B26" s="20">
        <v>40745166</v>
      </c>
      <c r="C26" s="10" t="str">
        <f>MID(D26,10,9)</f>
        <v>155/70R13</v>
      </c>
      <c r="D26" s="21" t="s">
        <v>51</v>
      </c>
      <c r="E26" s="20">
        <v>4</v>
      </c>
    </row>
    <row r="27" spans="1:5">
      <c r="A27" s="13">
        <v>5</v>
      </c>
      <c r="B27" s="16">
        <v>40714523</v>
      </c>
      <c r="C27" s="10" t="s">
        <v>97</v>
      </c>
      <c r="D27" s="17" t="s">
        <v>19</v>
      </c>
      <c r="E27" s="14">
        <v>10</v>
      </c>
    </row>
    <row r="28" spans="1:5">
      <c r="A28" s="20">
        <v>5</v>
      </c>
      <c r="B28" s="20">
        <v>40763622</v>
      </c>
      <c r="C28" s="10" t="str">
        <f>MID(D28,10,9)</f>
        <v>205/65R15</v>
      </c>
      <c r="D28" s="21" t="s">
        <v>44</v>
      </c>
      <c r="E28" s="20">
        <v>7</v>
      </c>
    </row>
    <row r="29" spans="1:5">
      <c r="A29" s="8">
        <v>6</v>
      </c>
      <c r="B29" s="15">
        <v>40714401</v>
      </c>
      <c r="C29" s="10" t="s">
        <v>91</v>
      </c>
      <c r="D29" s="17" t="s">
        <v>20</v>
      </c>
      <c r="E29" s="12">
        <v>4</v>
      </c>
    </row>
    <row r="30" spans="1:5">
      <c r="A30" s="13">
        <v>6</v>
      </c>
      <c r="B30" s="16">
        <v>40745638</v>
      </c>
      <c r="C30" s="10" t="s">
        <v>98</v>
      </c>
      <c r="D30" s="11" t="s">
        <v>21</v>
      </c>
      <c r="E30" s="14">
        <v>4</v>
      </c>
    </row>
    <row r="31" spans="1:5">
      <c r="A31" s="8">
        <v>6</v>
      </c>
      <c r="B31" s="15">
        <v>40763629</v>
      </c>
      <c r="C31" s="10" t="s">
        <v>99</v>
      </c>
      <c r="D31" s="11" t="s">
        <v>22</v>
      </c>
      <c r="E31" s="12">
        <v>4</v>
      </c>
    </row>
    <row r="32" spans="1:5">
      <c r="A32" s="13">
        <v>7</v>
      </c>
      <c r="B32" s="16">
        <v>40745335</v>
      </c>
      <c r="C32" s="10" t="s">
        <v>91</v>
      </c>
      <c r="D32" s="17" t="s">
        <v>23</v>
      </c>
      <c r="E32" s="14">
        <v>2</v>
      </c>
    </row>
    <row r="33" spans="1:5">
      <c r="A33" s="20">
        <v>7</v>
      </c>
      <c r="B33" s="20">
        <v>40763779</v>
      </c>
      <c r="C33" s="10" t="str">
        <f>MID(D33,10,9)</f>
        <v>205/65R15</v>
      </c>
      <c r="D33" s="21" t="s">
        <v>18</v>
      </c>
      <c r="E33" s="20">
        <v>4</v>
      </c>
    </row>
    <row r="34" spans="1:5">
      <c r="A34" s="20">
        <v>7</v>
      </c>
      <c r="B34" s="20">
        <v>40763596</v>
      </c>
      <c r="C34" s="10" t="str">
        <f>MID(D34,10,9)</f>
        <v>205/65R16</v>
      </c>
      <c r="D34" s="21" t="s">
        <v>75</v>
      </c>
      <c r="E34" s="20">
        <v>3</v>
      </c>
    </row>
    <row r="35" spans="1:5">
      <c r="A35" s="20">
        <v>7</v>
      </c>
      <c r="B35" s="20">
        <v>40763722</v>
      </c>
      <c r="C35" s="10" t="str">
        <f>MID(D35,10,9)</f>
        <v>195/65R15</v>
      </c>
      <c r="D35" s="21" t="s">
        <v>38</v>
      </c>
      <c r="E35" s="20">
        <v>1</v>
      </c>
    </row>
    <row r="36" spans="1:5">
      <c r="A36" s="20">
        <v>7</v>
      </c>
      <c r="B36" s="20">
        <v>40745816</v>
      </c>
      <c r="C36" s="10" t="str">
        <f>MID(D36,10,9)</f>
        <v>205/65R15</v>
      </c>
      <c r="D36" s="21" t="s">
        <v>76</v>
      </c>
      <c r="E36" s="20">
        <v>1</v>
      </c>
    </row>
    <row r="37" spans="1:5">
      <c r="A37" s="20">
        <v>7</v>
      </c>
      <c r="B37" s="20">
        <v>40769020</v>
      </c>
      <c r="C37" s="10" t="str">
        <f>MID(D37,10,9)</f>
        <v>205/55R16</v>
      </c>
      <c r="D37" s="21" t="s">
        <v>11</v>
      </c>
      <c r="E37" s="20">
        <v>1</v>
      </c>
    </row>
    <row r="38" spans="1:5">
      <c r="A38" s="20">
        <v>7</v>
      </c>
      <c r="B38" s="20">
        <v>40769019</v>
      </c>
      <c r="C38" s="10" t="str">
        <f>MID(D38,10,9)</f>
        <v>195/65R15</v>
      </c>
      <c r="D38" s="21" t="s">
        <v>77</v>
      </c>
      <c r="E38" s="20">
        <v>1</v>
      </c>
    </row>
    <row r="39" spans="1:5">
      <c r="A39" s="20">
        <v>7</v>
      </c>
      <c r="B39" s="20">
        <v>40745903</v>
      </c>
      <c r="C39" s="10" t="str">
        <f>MID(D39,10,9)</f>
        <v>175/65R14</v>
      </c>
      <c r="D39" s="21" t="s">
        <v>45</v>
      </c>
      <c r="E39" s="20">
        <v>2</v>
      </c>
    </row>
    <row r="40" spans="1:5">
      <c r="A40" s="20">
        <v>7</v>
      </c>
      <c r="B40" s="20">
        <v>40763668</v>
      </c>
      <c r="C40" s="10" t="str">
        <f>MID(D40,10,9)</f>
        <v>175/65R14</v>
      </c>
      <c r="D40" s="21" t="s">
        <v>50</v>
      </c>
      <c r="E40" s="20">
        <v>1</v>
      </c>
    </row>
    <row r="41" spans="1:5">
      <c r="A41" s="20">
        <v>7</v>
      </c>
      <c r="B41" s="20">
        <v>40745926</v>
      </c>
      <c r="C41" s="10" t="str">
        <f>MID(D41,10,9)</f>
        <v>185/60R14</v>
      </c>
      <c r="D41" s="21" t="s">
        <v>65</v>
      </c>
      <c r="E41" s="20">
        <v>1</v>
      </c>
    </row>
    <row r="42" spans="1:5">
      <c r="A42" s="20">
        <v>8</v>
      </c>
      <c r="B42" s="20">
        <v>40745675</v>
      </c>
      <c r="C42" s="10" t="str">
        <f>MID(D42,10,9)</f>
        <v>215/60R16</v>
      </c>
      <c r="D42" s="21" t="s">
        <v>78</v>
      </c>
      <c r="E42" s="20">
        <v>5</v>
      </c>
    </row>
    <row r="43" spans="1:5">
      <c r="A43" s="20">
        <v>8</v>
      </c>
      <c r="B43" s="20">
        <v>40763622</v>
      </c>
      <c r="C43" s="10" t="str">
        <f>MID(D43,10,9)</f>
        <v>205/65R15</v>
      </c>
      <c r="D43" s="21" t="s">
        <v>44</v>
      </c>
      <c r="E43" s="20">
        <v>5</v>
      </c>
    </row>
    <row r="44" spans="1:5">
      <c r="A44" s="20">
        <v>8</v>
      </c>
      <c r="B44" s="20">
        <v>40745925</v>
      </c>
      <c r="C44" s="10" t="str">
        <f>MID(D44,10,9)</f>
        <v>185/60R14</v>
      </c>
      <c r="D44" s="21" t="s">
        <v>79</v>
      </c>
      <c r="E44" s="20">
        <v>1</v>
      </c>
    </row>
    <row r="45" spans="1:5">
      <c r="A45" s="20">
        <v>8</v>
      </c>
      <c r="B45" s="20">
        <v>40714759</v>
      </c>
      <c r="C45" s="10" t="str">
        <f>MID(D45,10,9)</f>
        <v>185/70R14</v>
      </c>
      <c r="D45" s="21" t="s">
        <v>80</v>
      </c>
      <c r="E45" s="20">
        <v>1</v>
      </c>
    </row>
    <row r="46" spans="1:5">
      <c r="A46" s="20">
        <v>8</v>
      </c>
      <c r="B46" s="20">
        <v>40714756</v>
      </c>
      <c r="C46" s="10" t="str">
        <f>MID(D46,10,9)</f>
        <v>175/70R14</v>
      </c>
      <c r="D46" s="21" t="s">
        <v>81</v>
      </c>
      <c r="E46" s="20">
        <v>1</v>
      </c>
    </row>
    <row r="47" spans="1:5">
      <c r="A47" s="20">
        <v>8</v>
      </c>
      <c r="B47" s="20">
        <v>40745620</v>
      </c>
      <c r="C47" s="10" t="str">
        <f>MID(D47,10,9)</f>
        <v>185/65R14</v>
      </c>
      <c r="D47" s="21" t="s">
        <v>82</v>
      </c>
      <c r="E47" s="20">
        <v>1</v>
      </c>
    </row>
    <row r="48" spans="1:5">
      <c r="A48" s="13">
        <v>9</v>
      </c>
      <c r="B48" s="16">
        <v>40745905</v>
      </c>
      <c r="C48" s="10" t="s">
        <v>93</v>
      </c>
      <c r="D48" s="11" t="s">
        <v>12</v>
      </c>
      <c r="E48" s="14">
        <v>14</v>
      </c>
    </row>
    <row r="49" spans="1:5">
      <c r="A49" s="8">
        <v>10</v>
      </c>
      <c r="B49" s="15">
        <v>40745633</v>
      </c>
      <c r="C49" s="10" t="s">
        <v>95</v>
      </c>
      <c r="D49" s="11" t="s">
        <v>24</v>
      </c>
      <c r="E49" s="12">
        <v>9</v>
      </c>
    </row>
    <row r="50" spans="1:5">
      <c r="A50" s="20">
        <v>10</v>
      </c>
      <c r="B50" s="20">
        <v>40769153</v>
      </c>
      <c r="C50" s="10" t="str">
        <f>MID(D50,10,9)</f>
        <v>195/65R15</v>
      </c>
      <c r="D50" s="21" t="s">
        <v>56</v>
      </c>
      <c r="E50" s="20">
        <v>8</v>
      </c>
    </row>
    <row r="51" spans="1:5">
      <c r="A51" s="13">
        <v>11</v>
      </c>
      <c r="B51" s="16">
        <v>40745640</v>
      </c>
      <c r="C51" s="10" t="s">
        <v>100</v>
      </c>
      <c r="D51" s="11" t="s">
        <v>25</v>
      </c>
      <c r="E51" s="14">
        <v>12</v>
      </c>
    </row>
    <row r="52" spans="1:5">
      <c r="A52" s="20">
        <v>11</v>
      </c>
      <c r="B52" s="20">
        <v>40769160</v>
      </c>
      <c r="C52" s="10" t="str">
        <f>MID(D52,10,9)</f>
        <v>205/60R16</v>
      </c>
      <c r="D52" s="21" t="s">
        <v>59</v>
      </c>
      <c r="E52" s="20">
        <v>2</v>
      </c>
    </row>
    <row r="53" spans="1:5">
      <c r="A53" s="20">
        <v>11</v>
      </c>
      <c r="B53" s="20">
        <v>40769153</v>
      </c>
      <c r="C53" s="10" t="str">
        <f>MID(D53,10,9)</f>
        <v>195/65R15</v>
      </c>
      <c r="D53" s="21" t="s">
        <v>56</v>
      </c>
      <c r="E53" s="20">
        <v>2</v>
      </c>
    </row>
    <row r="54" spans="1:5">
      <c r="A54" s="8">
        <v>12</v>
      </c>
      <c r="B54" s="15">
        <v>40714805</v>
      </c>
      <c r="C54" s="10" t="s">
        <v>94</v>
      </c>
      <c r="D54" s="17" t="s">
        <v>14</v>
      </c>
      <c r="E54" s="12">
        <v>12</v>
      </c>
    </row>
    <row r="55" spans="1:5">
      <c r="A55" s="20">
        <v>12</v>
      </c>
      <c r="B55" s="20">
        <v>40763699</v>
      </c>
      <c r="C55" s="10" t="str">
        <f>MID(D55,10,9)</f>
        <v>205/55R16</v>
      </c>
      <c r="D55" s="21" t="s">
        <v>83</v>
      </c>
      <c r="E55" s="20">
        <v>3</v>
      </c>
    </row>
    <row r="56" spans="1:5">
      <c r="A56" s="20">
        <v>12</v>
      </c>
      <c r="B56" s="20">
        <v>40745754</v>
      </c>
      <c r="C56" s="10" t="str">
        <f>MID(D56,10,9)</f>
        <v>205/55R16</v>
      </c>
      <c r="D56" s="21" t="s">
        <v>17</v>
      </c>
      <c r="E56" s="20">
        <v>4</v>
      </c>
    </row>
    <row r="57" spans="1:5">
      <c r="A57" s="13">
        <v>13</v>
      </c>
      <c r="B57" s="16">
        <v>40763777</v>
      </c>
      <c r="C57" s="10" t="s">
        <v>97</v>
      </c>
      <c r="D57" s="11" t="s">
        <v>26</v>
      </c>
      <c r="E57" s="14">
        <v>7</v>
      </c>
    </row>
    <row r="58" spans="1:5">
      <c r="A58" s="8">
        <v>13</v>
      </c>
      <c r="B58" s="15">
        <v>40745183</v>
      </c>
      <c r="C58" s="10" t="s">
        <v>101</v>
      </c>
      <c r="D58" s="11" t="s">
        <v>27</v>
      </c>
      <c r="E58" s="12">
        <v>4</v>
      </c>
    </row>
    <row r="59" spans="1:5">
      <c r="A59" s="20">
        <v>13</v>
      </c>
      <c r="B59" s="20">
        <v>40745751</v>
      </c>
      <c r="C59" s="10" t="str">
        <f>MID(D59,10,9)</f>
        <v>195/65R15</v>
      </c>
      <c r="D59" s="21" t="s">
        <v>54</v>
      </c>
      <c r="E59" s="20">
        <v>2</v>
      </c>
    </row>
    <row r="60" spans="1:5">
      <c r="A60" s="20">
        <v>13</v>
      </c>
      <c r="B60" s="20">
        <v>40763565</v>
      </c>
      <c r="C60" s="10" t="str">
        <f>MID(D60,10,9)</f>
        <v>175/65R14</v>
      </c>
      <c r="D60" s="21" t="s">
        <v>46</v>
      </c>
      <c r="E60" s="20">
        <v>4</v>
      </c>
    </row>
    <row r="61" spans="1:5">
      <c r="A61" s="13">
        <v>14</v>
      </c>
      <c r="B61" s="16">
        <v>40714401</v>
      </c>
      <c r="C61" s="10" t="s">
        <v>91</v>
      </c>
      <c r="D61" s="11" t="s">
        <v>20</v>
      </c>
      <c r="E61" s="14">
        <v>12</v>
      </c>
    </row>
    <row r="62" spans="1:5">
      <c r="A62" s="20">
        <v>14</v>
      </c>
      <c r="B62" s="20">
        <v>40763668</v>
      </c>
      <c r="C62" s="10" t="str">
        <f>MID(D62,10,9)</f>
        <v>175/65R14</v>
      </c>
      <c r="D62" s="21" t="s">
        <v>50</v>
      </c>
      <c r="E62" s="20">
        <v>6</v>
      </c>
    </row>
    <row r="63" spans="1:5">
      <c r="A63" s="8">
        <v>15</v>
      </c>
      <c r="B63" s="15">
        <v>40714518</v>
      </c>
      <c r="C63" s="10" t="s">
        <v>89</v>
      </c>
      <c r="D63" s="11" t="s">
        <v>28</v>
      </c>
      <c r="E63" s="12">
        <v>10</v>
      </c>
    </row>
    <row r="64" spans="1:5">
      <c r="A64" s="20">
        <v>15</v>
      </c>
      <c r="B64" s="20">
        <v>40769198</v>
      </c>
      <c r="C64" s="10" t="str">
        <f>MID(D64,10,9)</f>
        <v>205/55R16</v>
      </c>
      <c r="D64" s="21" t="s">
        <v>58</v>
      </c>
      <c r="E64" s="20">
        <v>4</v>
      </c>
    </row>
    <row r="65" spans="1:5">
      <c r="A65" s="20">
        <v>15</v>
      </c>
      <c r="B65" s="20">
        <v>40769197</v>
      </c>
      <c r="C65" s="10" t="str">
        <f>MID(D65,10,9)</f>
        <v>195/65R15</v>
      </c>
      <c r="D65" s="21" t="s">
        <v>57</v>
      </c>
      <c r="E65" s="20">
        <v>4</v>
      </c>
    </row>
    <row r="66" spans="1:5">
      <c r="A66" s="13">
        <v>16</v>
      </c>
      <c r="B66" s="16">
        <v>40745183</v>
      </c>
      <c r="C66" s="10" t="s">
        <v>101</v>
      </c>
      <c r="D66" s="11" t="s">
        <v>27</v>
      </c>
      <c r="E66" s="14">
        <v>12</v>
      </c>
    </row>
    <row r="67" spans="1:5">
      <c r="A67" s="20">
        <v>16</v>
      </c>
      <c r="B67" s="20">
        <v>40763699</v>
      </c>
      <c r="C67" s="10" t="str">
        <f>MID(D67,10,9)</f>
        <v>205/55R16</v>
      </c>
      <c r="D67" s="21" t="s">
        <v>83</v>
      </c>
      <c r="E67" s="20">
        <v>3</v>
      </c>
    </row>
    <row r="68" spans="1:5">
      <c r="A68" s="8">
        <v>17</v>
      </c>
      <c r="B68" s="15">
        <v>40745623</v>
      </c>
      <c r="C68" s="10" t="s">
        <v>102</v>
      </c>
      <c r="D68" s="11" t="s">
        <v>29</v>
      </c>
      <c r="E68" s="12">
        <v>12</v>
      </c>
    </row>
    <row r="69" spans="1:5">
      <c r="A69" s="13">
        <v>18</v>
      </c>
      <c r="B69" s="16">
        <v>40745623</v>
      </c>
      <c r="C69" s="10" t="s">
        <v>102</v>
      </c>
      <c r="D69" s="11" t="s">
        <v>29</v>
      </c>
      <c r="E69" s="14">
        <v>4</v>
      </c>
    </row>
    <row r="70" spans="1:5">
      <c r="A70" s="8">
        <v>18</v>
      </c>
      <c r="B70" s="15">
        <v>40763827</v>
      </c>
      <c r="C70" s="10" t="s">
        <v>95</v>
      </c>
      <c r="D70" s="11" t="s">
        <v>30</v>
      </c>
      <c r="E70" s="12">
        <v>4</v>
      </c>
    </row>
    <row r="71" spans="1:5">
      <c r="A71" s="20">
        <v>18</v>
      </c>
      <c r="B71" s="20">
        <v>40763742</v>
      </c>
      <c r="C71" s="10" t="str">
        <f>MID(D71,10,9)</f>
        <v>215/55R17</v>
      </c>
      <c r="D71" s="21" t="s">
        <v>13</v>
      </c>
      <c r="E71" s="20">
        <v>4</v>
      </c>
    </row>
    <row r="72" spans="1:5">
      <c r="A72" s="20">
        <v>18</v>
      </c>
      <c r="B72" s="20">
        <v>40769191</v>
      </c>
      <c r="C72" s="10" t="str">
        <f>MID(D72,10,9)</f>
        <v>175/70R13</v>
      </c>
      <c r="D72" s="21" t="s">
        <v>68</v>
      </c>
      <c r="E72" s="20">
        <v>4</v>
      </c>
    </row>
    <row r="73" spans="1:5">
      <c r="A73" s="13">
        <v>19</v>
      </c>
      <c r="B73" s="16">
        <v>40714519</v>
      </c>
      <c r="C73" s="10" t="s">
        <v>93</v>
      </c>
      <c r="D73" s="11" t="s">
        <v>31</v>
      </c>
      <c r="E73" s="14">
        <v>13</v>
      </c>
    </row>
    <row r="74" spans="1:5">
      <c r="A74" s="8">
        <v>20</v>
      </c>
      <c r="B74" s="15">
        <v>40763802</v>
      </c>
      <c r="C74" s="10" t="s">
        <v>92</v>
      </c>
      <c r="D74" s="11" t="s">
        <v>32</v>
      </c>
      <c r="E74" s="12">
        <v>16</v>
      </c>
    </row>
    <row r="75" spans="1:5">
      <c r="A75" s="13">
        <v>21</v>
      </c>
      <c r="B75" s="16">
        <v>40763802</v>
      </c>
      <c r="C75" s="10" t="s">
        <v>92</v>
      </c>
      <c r="D75" s="11" t="s">
        <v>32</v>
      </c>
      <c r="E75" s="14">
        <v>16</v>
      </c>
    </row>
    <row r="76" spans="1:5">
      <c r="A76" s="13">
        <v>22</v>
      </c>
      <c r="B76" s="16">
        <v>40714389</v>
      </c>
      <c r="C76" s="10" t="s">
        <v>102</v>
      </c>
      <c r="D76" s="17" t="s">
        <v>33</v>
      </c>
      <c r="E76" s="14">
        <v>6</v>
      </c>
    </row>
    <row r="77" spans="1:5">
      <c r="A77" s="8">
        <v>22</v>
      </c>
      <c r="B77" s="15">
        <v>40714518</v>
      </c>
      <c r="C77" s="10" t="s">
        <v>89</v>
      </c>
      <c r="D77" s="11" t="s">
        <v>28</v>
      </c>
      <c r="E77" s="12">
        <v>10</v>
      </c>
    </row>
    <row r="78" spans="1:5">
      <c r="A78" s="8">
        <v>23</v>
      </c>
      <c r="B78" s="15">
        <v>40745623</v>
      </c>
      <c r="C78" s="10" t="s">
        <v>102</v>
      </c>
      <c r="D78" s="11" t="s">
        <v>29</v>
      </c>
      <c r="E78" s="12">
        <v>18</v>
      </c>
    </row>
    <row r="79" spans="1:5">
      <c r="A79" s="13">
        <v>24</v>
      </c>
      <c r="B79" s="16">
        <v>40714389</v>
      </c>
      <c r="C79" s="10" t="s">
        <v>102</v>
      </c>
      <c r="D79" s="17" t="s">
        <v>33</v>
      </c>
      <c r="E79" s="14">
        <v>6</v>
      </c>
    </row>
    <row r="80" spans="1:5">
      <c r="A80" s="8">
        <v>24</v>
      </c>
      <c r="B80" s="15">
        <v>40745706</v>
      </c>
      <c r="C80" s="10" t="s">
        <v>89</v>
      </c>
      <c r="D80" s="11" t="s">
        <v>35</v>
      </c>
      <c r="E80" s="12">
        <v>6</v>
      </c>
    </row>
    <row r="81" spans="1:5">
      <c r="A81" s="13">
        <v>24</v>
      </c>
      <c r="B81" s="16">
        <v>40745904</v>
      </c>
      <c r="C81" s="10" t="s">
        <v>103</v>
      </c>
      <c r="D81" s="11" t="s">
        <v>36</v>
      </c>
      <c r="E81" s="14">
        <v>3</v>
      </c>
    </row>
    <row r="82" spans="1:5">
      <c r="A82" s="8">
        <v>25</v>
      </c>
      <c r="B82" s="9">
        <v>40763671</v>
      </c>
      <c r="C82" s="10" t="s">
        <v>104</v>
      </c>
      <c r="D82" s="11" t="s">
        <v>37</v>
      </c>
      <c r="E82" s="12">
        <v>4</v>
      </c>
    </row>
    <row r="83" spans="1:5">
      <c r="A83" s="13">
        <v>25</v>
      </c>
      <c r="B83" s="9">
        <v>40763722</v>
      </c>
      <c r="C83" s="10" t="s">
        <v>97</v>
      </c>
      <c r="D83" s="11" t="s">
        <v>38</v>
      </c>
      <c r="E83" s="14">
        <v>8</v>
      </c>
    </row>
    <row r="84" spans="1:5">
      <c r="A84" s="13">
        <v>25</v>
      </c>
      <c r="B84" s="9">
        <v>40763675</v>
      </c>
      <c r="C84" s="10" t="s">
        <v>91</v>
      </c>
      <c r="D84" s="11" t="s">
        <v>10</v>
      </c>
      <c r="E84" s="14">
        <v>1</v>
      </c>
    </row>
    <row r="85" spans="1:5">
      <c r="A85" s="8">
        <v>25</v>
      </c>
      <c r="B85" s="15">
        <v>40745675</v>
      </c>
      <c r="C85" s="10" t="s">
        <v>103</v>
      </c>
      <c r="D85" s="11" t="s">
        <v>39</v>
      </c>
      <c r="E85" s="12">
        <v>2</v>
      </c>
    </row>
    <row r="86" spans="1:5">
      <c r="A86" s="8">
        <v>25</v>
      </c>
      <c r="B86" s="9">
        <v>40763802</v>
      </c>
      <c r="C86" s="10" t="s">
        <v>92</v>
      </c>
      <c r="D86" s="11" t="s">
        <v>32</v>
      </c>
      <c r="E86" s="12">
        <v>3</v>
      </c>
    </row>
    <row r="87" spans="1:5">
      <c r="A87" s="8">
        <v>26</v>
      </c>
      <c r="B87" s="9">
        <v>40769155</v>
      </c>
      <c r="C87" s="10" t="s">
        <v>105</v>
      </c>
      <c r="D87" s="11" t="s">
        <v>40</v>
      </c>
      <c r="E87" s="12">
        <v>2</v>
      </c>
    </row>
    <row r="88" spans="1:5">
      <c r="A88" s="13">
        <v>26</v>
      </c>
      <c r="B88" s="9">
        <v>40769159</v>
      </c>
      <c r="C88" s="10" t="s">
        <v>106</v>
      </c>
      <c r="D88" s="11" t="s">
        <v>41</v>
      </c>
      <c r="E88" s="14">
        <v>6</v>
      </c>
    </row>
    <row r="89" spans="1:5">
      <c r="A89" s="20">
        <v>26</v>
      </c>
      <c r="B89" s="20">
        <v>40769191</v>
      </c>
      <c r="C89" s="10" t="str">
        <f>MID(D89,10,9)</f>
        <v>175/70R13</v>
      </c>
      <c r="D89" s="21" t="s">
        <v>68</v>
      </c>
      <c r="E89" s="20">
        <v>6</v>
      </c>
    </row>
    <row r="90" spans="1:5">
      <c r="A90" s="8">
        <v>27</v>
      </c>
      <c r="B90" s="9">
        <v>40745623</v>
      </c>
      <c r="C90" s="10" t="s">
        <v>102</v>
      </c>
      <c r="D90" s="11" t="s">
        <v>29</v>
      </c>
      <c r="E90" s="12">
        <v>1</v>
      </c>
    </row>
    <row r="91" spans="1:5">
      <c r="A91" s="8">
        <v>27</v>
      </c>
      <c r="B91" s="9">
        <v>40763671</v>
      </c>
      <c r="C91" s="10" t="s">
        <v>104</v>
      </c>
      <c r="D91" s="11" t="s">
        <v>37</v>
      </c>
      <c r="E91" s="12">
        <v>1</v>
      </c>
    </row>
    <row r="92" spans="1:5">
      <c r="A92" s="8">
        <v>27</v>
      </c>
      <c r="B92" s="9">
        <v>40745375</v>
      </c>
      <c r="C92" s="10" t="s">
        <v>94</v>
      </c>
      <c r="D92" s="11" t="s">
        <v>42</v>
      </c>
      <c r="E92" s="12">
        <v>6</v>
      </c>
    </row>
    <row r="93" spans="1:5">
      <c r="A93" s="13">
        <v>27</v>
      </c>
      <c r="B93" s="16">
        <v>40745813</v>
      </c>
      <c r="C93" s="10" t="s">
        <v>90</v>
      </c>
      <c r="D93" s="11" t="s">
        <v>16</v>
      </c>
      <c r="E93" s="14">
        <v>2</v>
      </c>
    </row>
    <row r="94" spans="1:5">
      <c r="A94" s="13">
        <v>27</v>
      </c>
      <c r="B94" s="9">
        <v>40752325</v>
      </c>
      <c r="C94" s="10" t="s">
        <v>97</v>
      </c>
      <c r="D94" s="11" t="s">
        <v>43</v>
      </c>
      <c r="E94" s="14">
        <v>3</v>
      </c>
    </row>
    <row r="95" spans="1:5">
      <c r="A95" s="13">
        <v>27</v>
      </c>
      <c r="B95" s="9">
        <v>40763675</v>
      </c>
      <c r="C95" s="10" t="s">
        <v>91</v>
      </c>
      <c r="D95" s="11" t="s">
        <v>10</v>
      </c>
      <c r="E95" s="14">
        <v>1</v>
      </c>
    </row>
    <row r="96" spans="1:5">
      <c r="A96" s="8">
        <v>27</v>
      </c>
      <c r="B96" s="9">
        <v>40763622</v>
      </c>
      <c r="C96" s="10" t="s">
        <v>96</v>
      </c>
      <c r="D96" s="11" t="s">
        <v>44</v>
      </c>
      <c r="E96" s="12">
        <v>2</v>
      </c>
    </row>
    <row r="97" spans="1:5">
      <c r="A97" s="8">
        <v>28</v>
      </c>
      <c r="B97" s="9">
        <v>40745903</v>
      </c>
      <c r="C97" s="10" t="s">
        <v>89</v>
      </c>
      <c r="D97" s="11" t="s">
        <v>45</v>
      </c>
      <c r="E97" s="12">
        <v>7</v>
      </c>
    </row>
    <row r="98" spans="1:5">
      <c r="A98" s="13">
        <v>28</v>
      </c>
      <c r="B98" s="16">
        <v>40745908</v>
      </c>
      <c r="C98" s="10" t="s">
        <v>93</v>
      </c>
      <c r="D98" s="11" t="s">
        <v>12</v>
      </c>
      <c r="E98" s="14">
        <v>1</v>
      </c>
    </row>
    <row r="99" spans="1:5">
      <c r="A99" s="8">
        <v>28</v>
      </c>
      <c r="B99" s="9">
        <v>40763722</v>
      </c>
      <c r="C99" s="10" t="s">
        <v>97</v>
      </c>
      <c r="D99" s="11" t="s">
        <v>38</v>
      </c>
      <c r="E99" s="12">
        <v>2</v>
      </c>
    </row>
    <row r="100" spans="1:5">
      <c r="A100" s="13">
        <v>28</v>
      </c>
      <c r="B100" s="16">
        <v>40763596</v>
      </c>
      <c r="C100" s="10" t="s">
        <v>89</v>
      </c>
      <c r="D100" s="11" t="s">
        <v>46</v>
      </c>
      <c r="E100" s="14">
        <v>8</v>
      </c>
    </row>
    <row r="101" spans="1:5">
      <c r="A101" s="13">
        <v>29</v>
      </c>
      <c r="B101" s="9">
        <v>40763675</v>
      </c>
      <c r="C101" s="10" t="s">
        <v>91</v>
      </c>
      <c r="D101" s="11" t="s">
        <v>10</v>
      </c>
      <c r="E101" s="14">
        <v>3</v>
      </c>
    </row>
    <row r="102" spans="1:5">
      <c r="A102" s="13">
        <v>29</v>
      </c>
      <c r="B102" s="16">
        <v>40745816</v>
      </c>
      <c r="C102" s="10" t="s">
        <v>90</v>
      </c>
      <c r="D102" s="11" t="s">
        <v>16</v>
      </c>
      <c r="E102" s="14">
        <v>2</v>
      </c>
    </row>
    <row r="103" spans="1:5">
      <c r="A103" s="8">
        <v>29</v>
      </c>
      <c r="B103" s="15">
        <v>40745800</v>
      </c>
      <c r="C103" s="10" t="s">
        <v>102</v>
      </c>
      <c r="D103" s="11" t="s">
        <v>47</v>
      </c>
      <c r="E103" s="12">
        <v>4</v>
      </c>
    </row>
    <row r="104" spans="1:5">
      <c r="A104" s="8">
        <v>29</v>
      </c>
      <c r="B104" s="9">
        <v>40745801</v>
      </c>
      <c r="C104" s="10" t="s">
        <v>90</v>
      </c>
      <c r="D104" s="11" t="s">
        <v>16</v>
      </c>
      <c r="E104" s="12">
        <v>1</v>
      </c>
    </row>
    <row r="105" spans="1:5">
      <c r="A105" s="13">
        <v>29</v>
      </c>
      <c r="B105" s="16">
        <v>40745803</v>
      </c>
      <c r="C105" s="10" t="s">
        <v>90</v>
      </c>
      <c r="D105" s="11" t="s">
        <v>16</v>
      </c>
      <c r="E105" s="14">
        <v>3</v>
      </c>
    </row>
    <row r="106" spans="1:5">
      <c r="A106" s="8">
        <v>30</v>
      </c>
      <c r="B106" s="9">
        <v>40763622</v>
      </c>
      <c r="C106" s="10" t="s">
        <v>96</v>
      </c>
      <c r="D106" s="11" t="s">
        <v>44</v>
      </c>
      <c r="E106" s="12">
        <v>21</v>
      </c>
    </row>
    <row r="107" spans="1:5">
      <c r="A107" s="13">
        <v>31</v>
      </c>
      <c r="B107" s="9">
        <v>40763763</v>
      </c>
      <c r="C107" s="10" t="s">
        <v>95</v>
      </c>
      <c r="D107" s="11" t="s">
        <v>15</v>
      </c>
      <c r="E107" s="14">
        <v>1</v>
      </c>
    </row>
    <row r="108" spans="1:5">
      <c r="A108" s="13">
        <v>31</v>
      </c>
      <c r="B108" s="9">
        <v>40769020</v>
      </c>
      <c r="C108" s="10" t="s">
        <v>91</v>
      </c>
      <c r="D108" s="11" t="s">
        <v>11</v>
      </c>
      <c r="E108" s="14">
        <v>1</v>
      </c>
    </row>
    <row r="109" spans="1:5">
      <c r="A109" s="13">
        <v>31</v>
      </c>
      <c r="B109" s="9">
        <v>40763770</v>
      </c>
      <c r="C109" s="10" t="s">
        <v>91</v>
      </c>
      <c r="D109" s="11" t="s">
        <v>48</v>
      </c>
      <c r="E109" s="14">
        <v>1</v>
      </c>
    </row>
    <row r="110" spans="1:5">
      <c r="A110" s="8">
        <v>31</v>
      </c>
      <c r="B110" s="15">
        <v>40763629</v>
      </c>
      <c r="C110" s="10" t="s">
        <v>99</v>
      </c>
      <c r="D110" s="11" t="s">
        <v>22</v>
      </c>
      <c r="E110" s="12">
        <v>2</v>
      </c>
    </row>
    <row r="111" spans="1:5">
      <c r="A111" s="8">
        <v>31</v>
      </c>
      <c r="B111" s="15">
        <v>40745796</v>
      </c>
      <c r="C111" s="10" t="s">
        <v>104</v>
      </c>
      <c r="D111" s="11" t="s">
        <v>87</v>
      </c>
      <c r="E111" s="12">
        <v>3</v>
      </c>
    </row>
    <row r="112" spans="1:5">
      <c r="A112" s="13">
        <v>31</v>
      </c>
      <c r="B112" s="16">
        <v>40745813</v>
      </c>
      <c r="C112" s="10" t="s">
        <v>95</v>
      </c>
      <c r="D112" s="11" t="s">
        <v>88</v>
      </c>
      <c r="E112" s="14">
        <v>3</v>
      </c>
    </row>
    <row r="113" spans="1:5">
      <c r="A113" s="8">
        <v>32</v>
      </c>
      <c r="B113" s="15">
        <v>40745623</v>
      </c>
      <c r="C113" s="10" t="s">
        <v>102</v>
      </c>
      <c r="D113" s="17" t="s">
        <v>29</v>
      </c>
      <c r="E113" s="12">
        <v>9</v>
      </c>
    </row>
    <row r="114" spans="1:5">
      <c r="A114" s="20">
        <v>33</v>
      </c>
      <c r="B114" s="20">
        <v>40769203</v>
      </c>
      <c r="C114" s="10" t="str">
        <f>MID(D114,10,9)</f>
        <v>215/60R17</v>
      </c>
      <c r="D114" s="21" t="s">
        <v>62</v>
      </c>
      <c r="E114" s="20">
        <v>2</v>
      </c>
    </row>
    <row r="115" spans="1:5">
      <c r="A115" s="20">
        <v>33</v>
      </c>
      <c r="B115" s="20">
        <v>40769191</v>
      </c>
      <c r="C115" s="10" t="str">
        <f>MID(D115,10,9)</f>
        <v>175/70R13</v>
      </c>
      <c r="D115" s="21" t="s">
        <v>68</v>
      </c>
      <c r="E115" s="20">
        <v>7</v>
      </c>
    </row>
    <row r="116" spans="1:5">
      <c r="A116" s="20">
        <v>33</v>
      </c>
      <c r="B116" s="20">
        <v>40769195</v>
      </c>
      <c r="C116" s="10" t="str">
        <f>MID(D116,10,9)</f>
        <v>185/65R14</v>
      </c>
      <c r="D116" s="21" t="s">
        <v>55</v>
      </c>
      <c r="E116" s="20">
        <v>10</v>
      </c>
    </row>
    <row r="117" spans="1:5">
      <c r="A117" s="20">
        <v>34</v>
      </c>
      <c r="B117" s="20">
        <v>40769199</v>
      </c>
      <c r="C117" s="10" t="str">
        <f>MID(D117,10,9)</f>
        <v>205/60R16</v>
      </c>
      <c r="D117" s="21" t="s">
        <v>60</v>
      </c>
      <c r="E117" s="20">
        <v>14</v>
      </c>
    </row>
    <row r="118" spans="1:5">
      <c r="A118" s="20">
        <v>35</v>
      </c>
      <c r="B118" s="20">
        <v>40769198</v>
      </c>
      <c r="C118" s="10" t="str">
        <f>MID(D118,10,9)</f>
        <v>205/55R16</v>
      </c>
      <c r="D118" s="21" t="s">
        <v>58</v>
      </c>
      <c r="E118" s="20">
        <v>12</v>
      </c>
    </row>
    <row r="119" spans="1:5">
      <c r="A119" s="20">
        <v>36</v>
      </c>
      <c r="B119" s="20">
        <v>40769196</v>
      </c>
      <c r="C119" s="10" t="str">
        <f>MID(D119,10,9)</f>
        <v>185/65R15</v>
      </c>
      <c r="D119" s="21" t="s">
        <v>84</v>
      </c>
      <c r="E119" s="20">
        <v>14</v>
      </c>
    </row>
    <row r="120" spans="1:5">
      <c r="A120" s="20">
        <v>37</v>
      </c>
      <c r="B120" s="20">
        <v>40763713</v>
      </c>
      <c r="C120" s="10" t="str">
        <f>MID(D120,10,9)</f>
        <v>215/65R16</v>
      </c>
      <c r="D120" s="21" t="s">
        <v>85</v>
      </c>
      <c r="E120" s="20">
        <v>4</v>
      </c>
    </row>
    <row r="121" spans="1:5">
      <c r="A121" s="20">
        <v>37</v>
      </c>
      <c r="B121" s="20">
        <v>40752325</v>
      </c>
      <c r="C121" s="10" t="str">
        <f>MID(D121,10,9)</f>
        <v>195/65R15</v>
      </c>
      <c r="D121" s="21" t="s">
        <v>43</v>
      </c>
      <c r="E121" s="20">
        <v>3</v>
      </c>
    </row>
    <row r="122" spans="1:5">
      <c r="A122" s="20">
        <v>37</v>
      </c>
      <c r="B122" s="20">
        <v>40769200</v>
      </c>
      <c r="C122" s="10" t="str">
        <f>MID(D122,10,9)</f>
        <v>205/65R15</v>
      </c>
      <c r="D122" s="21" t="s">
        <v>61</v>
      </c>
      <c r="E122" s="20">
        <v>7</v>
      </c>
    </row>
    <row r="123" spans="1:5">
      <c r="A123" s="20">
        <v>38</v>
      </c>
      <c r="B123" s="20">
        <v>40769190</v>
      </c>
      <c r="C123" s="10" t="str">
        <f>MID(D123,10,9)</f>
        <v>175/65R14</v>
      </c>
      <c r="D123" s="21" t="s">
        <v>67</v>
      </c>
      <c r="E123" s="20">
        <v>6</v>
      </c>
    </row>
    <row r="124" spans="1:5">
      <c r="A124" s="20">
        <v>38</v>
      </c>
      <c r="B124" s="20">
        <v>40763673</v>
      </c>
      <c r="C124" s="10" t="str">
        <f>MID(D124,10,9)</f>
        <v>185/65R15</v>
      </c>
      <c r="D124" s="21" t="s">
        <v>86</v>
      </c>
      <c r="E124" s="20">
        <v>4</v>
      </c>
    </row>
    <row r="125" spans="1:5">
      <c r="A125" s="20">
        <v>38</v>
      </c>
      <c r="B125" s="20">
        <v>40745757</v>
      </c>
      <c r="C125" s="10" t="str">
        <f>MID(D125,10,9)</f>
        <v>175/70R13</v>
      </c>
      <c r="D125" s="21" t="s">
        <v>47</v>
      </c>
      <c r="E125" s="20">
        <v>3</v>
      </c>
    </row>
    <row r="126" spans="1:5">
      <c r="A126" s="10" t="s">
        <v>34</v>
      </c>
      <c r="B126" s="9">
        <v>40714389</v>
      </c>
      <c r="C126" s="10" t="s">
        <v>102</v>
      </c>
      <c r="D126" s="17" t="s">
        <v>33</v>
      </c>
      <c r="E126" s="18">
        <v>1</v>
      </c>
    </row>
    <row r="127" spans="1:5">
      <c r="A127" s="10" t="s">
        <v>34</v>
      </c>
      <c r="B127" s="9">
        <v>40714518</v>
      </c>
      <c r="C127" s="10" t="s">
        <v>89</v>
      </c>
      <c r="D127" s="11" t="s">
        <v>28</v>
      </c>
      <c r="E127" s="18">
        <v>1</v>
      </c>
    </row>
    <row r="128" spans="1:5">
      <c r="A128" s="10" t="s">
        <v>34</v>
      </c>
      <c r="B128" s="9">
        <v>40714519</v>
      </c>
      <c r="C128" s="10" t="s">
        <v>93</v>
      </c>
      <c r="D128" s="17" t="s">
        <v>31</v>
      </c>
      <c r="E128" s="18">
        <v>1</v>
      </c>
    </row>
    <row r="129" spans="1:5">
      <c r="A129" s="10" t="s">
        <v>34</v>
      </c>
      <c r="B129" s="9">
        <v>40714523</v>
      </c>
      <c r="C129" s="10" t="s">
        <v>97</v>
      </c>
      <c r="D129" s="17" t="s">
        <v>19</v>
      </c>
      <c r="E129" s="18">
        <v>1</v>
      </c>
    </row>
    <row r="130" spans="1:5">
      <c r="A130" s="10" t="s">
        <v>34</v>
      </c>
      <c r="B130" s="9">
        <v>40735206</v>
      </c>
      <c r="C130" s="10" t="s">
        <v>102</v>
      </c>
      <c r="D130" s="17" t="s">
        <v>49</v>
      </c>
      <c r="E130" s="18">
        <v>1</v>
      </c>
    </row>
    <row r="131" spans="1:5">
      <c r="A131" s="10" t="s">
        <v>34</v>
      </c>
      <c r="B131" s="9">
        <v>40763668</v>
      </c>
      <c r="C131" s="10" t="s">
        <v>89</v>
      </c>
      <c r="D131" s="11" t="s">
        <v>50</v>
      </c>
      <c r="E131" s="18">
        <v>1</v>
      </c>
    </row>
    <row r="132" spans="1:5">
      <c r="A132" s="10" t="s">
        <v>34</v>
      </c>
      <c r="B132" s="9">
        <v>40745166</v>
      </c>
      <c r="C132" s="10" t="s">
        <v>107</v>
      </c>
      <c r="D132" s="17" t="s">
        <v>51</v>
      </c>
      <c r="E132" s="18">
        <v>1</v>
      </c>
    </row>
    <row r="133" spans="1:5">
      <c r="A133" s="10" t="s">
        <v>34</v>
      </c>
      <c r="B133" s="9">
        <v>40745374</v>
      </c>
      <c r="C133" s="10" t="s">
        <v>107</v>
      </c>
      <c r="D133" s="17" t="s">
        <v>52</v>
      </c>
      <c r="E133" s="18">
        <v>1</v>
      </c>
    </row>
    <row r="134" spans="1:5">
      <c r="A134" s="10" t="s">
        <v>34</v>
      </c>
      <c r="B134" s="9">
        <v>40745375</v>
      </c>
      <c r="C134" s="10" t="s">
        <v>94</v>
      </c>
      <c r="D134" s="17" t="s">
        <v>42</v>
      </c>
      <c r="E134" s="18">
        <v>1</v>
      </c>
    </row>
    <row r="135" spans="1:5">
      <c r="A135" s="10" t="s">
        <v>34</v>
      </c>
      <c r="B135" s="9">
        <v>40745623</v>
      </c>
      <c r="C135" s="10" t="s">
        <v>102</v>
      </c>
      <c r="D135" s="17" t="s">
        <v>29</v>
      </c>
      <c r="E135" s="18">
        <v>1</v>
      </c>
    </row>
    <row r="136" spans="1:5">
      <c r="A136" s="10" t="s">
        <v>34</v>
      </c>
      <c r="B136" s="9">
        <v>40745633</v>
      </c>
      <c r="C136" s="10" t="s">
        <v>95</v>
      </c>
      <c r="D136" s="17" t="s">
        <v>24</v>
      </c>
      <c r="E136" s="18">
        <v>1</v>
      </c>
    </row>
    <row r="137" spans="1:5">
      <c r="A137" s="10" t="s">
        <v>34</v>
      </c>
      <c r="B137" s="9">
        <v>40745638</v>
      </c>
      <c r="C137" s="10" t="s">
        <v>98</v>
      </c>
      <c r="D137" s="17" t="s">
        <v>21</v>
      </c>
      <c r="E137" s="18">
        <v>1</v>
      </c>
    </row>
    <row r="138" spans="1:5">
      <c r="A138" s="10" t="s">
        <v>34</v>
      </c>
      <c r="B138" s="9">
        <v>40745706</v>
      </c>
      <c r="C138" s="10" t="s">
        <v>89</v>
      </c>
      <c r="D138" s="17" t="s">
        <v>35</v>
      </c>
      <c r="E138" s="18">
        <v>1</v>
      </c>
    </row>
    <row r="139" spans="1:5">
      <c r="A139" s="10" t="s">
        <v>34</v>
      </c>
      <c r="B139" s="9">
        <v>40769195</v>
      </c>
      <c r="C139" s="10" t="s">
        <v>94</v>
      </c>
      <c r="D139" s="11" t="s">
        <v>55</v>
      </c>
      <c r="E139" s="18">
        <v>1</v>
      </c>
    </row>
    <row r="140" spans="1:5">
      <c r="A140" s="10" t="s">
        <v>34</v>
      </c>
      <c r="B140" s="9">
        <v>40769153</v>
      </c>
      <c r="C140" s="10" t="s">
        <v>97</v>
      </c>
      <c r="D140" s="11" t="s">
        <v>56</v>
      </c>
      <c r="E140" s="18">
        <v>1</v>
      </c>
    </row>
    <row r="141" spans="1:5">
      <c r="A141" s="10" t="s">
        <v>34</v>
      </c>
      <c r="B141" s="9">
        <v>40769197</v>
      </c>
      <c r="C141" s="10" t="s">
        <v>97</v>
      </c>
      <c r="D141" s="11" t="s">
        <v>57</v>
      </c>
      <c r="E141" s="18">
        <v>1</v>
      </c>
    </row>
    <row r="142" spans="1:5">
      <c r="A142" s="10" t="s">
        <v>34</v>
      </c>
      <c r="B142" s="9">
        <v>40763777</v>
      </c>
      <c r="C142" s="10" t="s">
        <v>97</v>
      </c>
      <c r="D142" s="11" t="s">
        <v>26</v>
      </c>
      <c r="E142" s="18">
        <v>1</v>
      </c>
    </row>
    <row r="143" spans="1:5">
      <c r="A143" s="10" t="s">
        <v>34</v>
      </c>
      <c r="B143" s="9">
        <v>40769198</v>
      </c>
      <c r="C143" s="10" t="s">
        <v>91</v>
      </c>
      <c r="D143" s="11" t="s">
        <v>58</v>
      </c>
      <c r="E143" s="18">
        <v>1</v>
      </c>
    </row>
    <row r="144" spans="1:5">
      <c r="A144" s="10" t="s">
        <v>34</v>
      </c>
      <c r="B144" s="9">
        <v>40769160</v>
      </c>
      <c r="C144" s="10" t="s">
        <v>101</v>
      </c>
      <c r="D144" s="11" t="s">
        <v>59</v>
      </c>
      <c r="E144" s="18">
        <v>1</v>
      </c>
    </row>
    <row r="145" spans="1:5">
      <c r="A145" s="10" t="s">
        <v>34</v>
      </c>
      <c r="B145" s="9">
        <v>40769199</v>
      </c>
      <c r="C145" s="10" t="s">
        <v>101</v>
      </c>
      <c r="D145" s="11" t="s">
        <v>60</v>
      </c>
      <c r="E145" s="18">
        <v>1</v>
      </c>
    </row>
    <row r="146" spans="1:5">
      <c r="A146" s="10" t="s">
        <v>34</v>
      </c>
      <c r="B146" s="9">
        <v>40769200</v>
      </c>
      <c r="C146" s="10" t="s">
        <v>96</v>
      </c>
      <c r="D146" s="11" t="s">
        <v>61</v>
      </c>
      <c r="E146" s="18">
        <v>1</v>
      </c>
    </row>
    <row r="147" spans="1:5">
      <c r="A147" s="10" t="s">
        <v>34</v>
      </c>
      <c r="B147" s="9">
        <v>40769155</v>
      </c>
      <c r="C147" s="10" t="s">
        <v>105</v>
      </c>
      <c r="D147" s="11" t="s">
        <v>40</v>
      </c>
      <c r="E147" s="18">
        <v>1</v>
      </c>
    </row>
    <row r="148" spans="1:5">
      <c r="A148" s="10" t="s">
        <v>34</v>
      </c>
      <c r="B148" s="9">
        <v>40769203</v>
      </c>
      <c r="C148" s="10" t="s">
        <v>108</v>
      </c>
      <c r="D148" s="11" t="s">
        <v>62</v>
      </c>
      <c r="E148" s="18">
        <v>1</v>
      </c>
    </row>
    <row r="149" spans="1:5">
      <c r="A149" s="10" t="s">
        <v>34</v>
      </c>
      <c r="B149" s="9">
        <v>40769159</v>
      </c>
      <c r="C149" s="10" t="s">
        <v>106</v>
      </c>
      <c r="D149" s="11" t="s">
        <v>41</v>
      </c>
      <c r="E149" s="18">
        <v>1</v>
      </c>
    </row>
    <row r="150" spans="1:5">
      <c r="A150" s="10" t="s">
        <v>34</v>
      </c>
      <c r="B150" s="9">
        <v>40769206</v>
      </c>
      <c r="C150" s="10" t="s">
        <v>109</v>
      </c>
      <c r="D150" s="11" t="s">
        <v>63</v>
      </c>
      <c r="E150" s="18">
        <v>1</v>
      </c>
    </row>
    <row r="151" spans="1:5">
      <c r="A151" s="10" t="s">
        <v>34</v>
      </c>
      <c r="B151" s="9">
        <v>40745922</v>
      </c>
      <c r="C151" s="10" t="s">
        <v>102</v>
      </c>
      <c r="D151" s="17" t="s">
        <v>64</v>
      </c>
      <c r="E151" s="18">
        <v>1</v>
      </c>
    </row>
    <row r="152" spans="1:5">
      <c r="A152" s="10" t="s">
        <v>34</v>
      </c>
      <c r="B152" s="9">
        <v>40745926</v>
      </c>
      <c r="C152" s="10" t="s">
        <v>93</v>
      </c>
      <c r="D152" s="17" t="s">
        <v>65</v>
      </c>
      <c r="E152" s="18">
        <v>2</v>
      </c>
    </row>
    <row r="153" spans="1:5">
      <c r="A153" s="10" t="s">
        <v>34</v>
      </c>
      <c r="B153" s="9">
        <v>40752325</v>
      </c>
      <c r="C153" s="10" t="s">
        <v>97</v>
      </c>
      <c r="D153" s="17" t="s">
        <v>43</v>
      </c>
      <c r="E153" s="18">
        <v>1</v>
      </c>
    </row>
    <row r="154" spans="1:5">
      <c r="A154" s="10" t="s">
        <v>53</v>
      </c>
      <c r="B154" s="9">
        <v>40745751</v>
      </c>
      <c r="C154" s="10" t="s">
        <v>97</v>
      </c>
      <c r="D154" s="17" t="s">
        <v>54</v>
      </c>
      <c r="E154" s="18">
        <v>4</v>
      </c>
    </row>
    <row r="155" spans="1:5">
      <c r="A155" s="10" t="s">
        <v>53</v>
      </c>
      <c r="B155" s="9">
        <v>40745757</v>
      </c>
      <c r="C155" s="10" t="s">
        <v>102</v>
      </c>
      <c r="D155" s="17" t="s">
        <v>47</v>
      </c>
      <c r="E155" s="18">
        <v>4</v>
      </c>
    </row>
    <row r="156" spans="1:5">
      <c r="A156" s="10" t="s">
        <v>53</v>
      </c>
      <c r="B156" s="9">
        <v>40745801</v>
      </c>
      <c r="C156" s="10" t="s">
        <v>90</v>
      </c>
      <c r="D156" s="17" t="s">
        <v>16</v>
      </c>
      <c r="E156" s="18">
        <v>4</v>
      </c>
    </row>
    <row r="157" spans="1:5">
      <c r="A157" s="10" t="s">
        <v>53</v>
      </c>
      <c r="B157" s="9">
        <v>40745928</v>
      </c>
      <c r="C157" s="10" t="s">
        <v>94</v>
      </c>
      <c r="D157" s="17" t="s">
        <v>66</v>
      </c>
      <c r="E157" s="18">
        <v>4</v>
      </c>
    </row>
    <row r="158" spans="1:5">
      <c r="A158" s="10" t="s">
        <v>53</v>
      </c>
      <c r="B158" s="9">
        <v>40769150</v>
      </c>
      <c r="C158" s="10" t="s">
        <v>89</v>
      </c>
      <c r="D158" s="11" t="s">
        <v>6</v>
      </c>
      <c r="E158" s="18">
        <v>4</v>
      </c>
    </row>
    <row r="159" spans="1:5">
      <c r="A159" s="10" t="s">
        <v>53</v>
      </c>
      <c r="B159" s="9">
        <v>40769153</v>
      </c>
      <c r="C159" s="10" t="s">
        <v>97</v>
      </c>
      <c r="D159" s="11" t="s">
        <v>56</v>
      </c>
      <c r="E159" s="18">
        <v>4</v>
      </c>
    </row>
    <row r="160" spans="1:5">
      <c r="A160" s="10" t="s">
        <v>53</v>
      </c>
      <c r="B160" s="9">
        <v>40769159</v>
      </c>
      <c r="C160" s="10" t="s">
        <v>106</v>
      </c>
      <c r="D160" s="11" t="s">
        <v>41</v>
      </c>
      <c r="E160" s="18">
        <v>4</v>
      </c>
    </row>
    <row r="161" spans="1:5">
      <c r="A161" s="10" t="s">
        <v>53</v>
      </c>
      <c r="B161" s="9">
        <v>40769190</v>
      </c>
      <c r="C161" s="10" t="str">
        <f>MID(D161,10,9)</f>
        <v>175/65R14</v>
      </c>
      <c r="D161" s="11" t="s">
        <v>67</v>
      </c>
      <c r="E161" s="18">
        <v>4</v>
      </c>
    </row>
    <row r="162" spans="1:5">
      <c r="A162" s="10" t="s">
        <v>53</v>
      </c>
      <c r="B162" s="9">
        <v>40769191</v>
      </c>
      <c r="C162" s="10" t="str">
        <f>MID(D162,10,9)</f>
        <v>175/70R13</v>
      </c>
      <c r="D162" s="11" t="s">
        <v>68</v>
      </c>
      <c r="E162" s="18">
        <v>4</v>
      </c>
    </row>
    <row r="163" spans="1:5">
      <c r="A163" s="10" t="s">
        <v>53</v>
      </c>
      <c r="B163" s="9">
        <v>40769197</v>
      </c>
      <c r="C163" s="10" t="str">
        <f>MID(D163,10,9)</f>
        <v>195/65R15</v>
      </c>
      <c r="D163" s="11" t="s">
        <v>57</v>
      </c>
      <c r="E163" s="18">
        <v>4</v>
      </c>
    </row>
    <row r="164" spans="1:5">
      <c r="A164" s="10" t="s">
        <v>53</v>
      </c>
      <c r="B164" s="9">
        <v>40769198</v>
      </c>
      <c r="C164" s="10" t="str">
        <f>MID(D164,10,9)</f>
        <v>205/55R16</v>
      </c>
      <c r="D164" s="11" t="s">
        <v>58</v>
      </c>
      <c r="E164" s="18">
        <v>4</v>
      </c>
    </row>
    <row r="165" spans="1:5">
      <c r="A165" s="10" t="s">
        <v>53</v>
      </c>
      <c r="B165" s="9">
        <v>40714518</v>
      </c>
      <c r="C165" s="10" t="str">
        <f>MID(D165,10,9)</f>
        <v>175/65R14</v>
      </c>
      <c r="D165" s="19" t="s">
        <v>28</v>
      </c>
      <c r="E165" s="18">
        <v>4</v>
      </c>
    </row>
    <row r="166" spans="1:5">
      <c r="A166" s="10" t="s">
        <v>53</v>
      </c>
      <c r="B166" s="9">
        <v>40714389</v>
      </c>
      <c r="C166" s="10" t="str">
        <f>MID(D166,10,9)</f>
        <v>175/70R13</v>
      </c>
      <c r="D166" s="19" t="s">
        <v>33</v>
      </c>
      <c r="E166" s="18">
        <v>4</v>
      </c>
    </row>
    <row r="167" spans="1:5">
      <c r="A167" s="10" t="s">
        <v>53</v>
      </c>
      <c r="B167" s="9">
        <v>40745623</v>
      </c>
      <c r="C167" s="10" t="str">
        <f>MID(D167,10,9)</f>
        <v>175/70R13</v>
      </c>
      <c r="D167" s="19" t="s">
        <v>29</v>
      </c>
      <c r="E167" s="18">
        <v>4</v>
      </c>
    </row>
    <row r="168" spans="1:5">
      <c r="A168" s="10" t="s">
        <v>53</v>
      </c>
      <c r="B168" s="9">
        <v>40714805</v>
      </c>
      <c r="C168" s="10" t="str">
        <f>MID(D168,10,9)</f>
        <v>185/65R14</v>
      </c>
      <c r="D168" s="19" t="s">
        <v>69</v>
      </c>
      <c r="E168" s="18">
        <v>4</v>
      </c>
    </row>
    <row r="169" spans="1:5">
      <c r="A169" s="10" t="s">
        <v>53</v>
      </c>
      <c r="B169" s="9">
        <v>40745633</v>
      </c>
      <c r="C169" s="10" t="str">
        <f>MID(D169,10,9)</f>
        <v>185/65R15</v>
      </c>
      <c r="D169" s="19" t="s">
        <v>24</v>
      </c>
      <c r="E169" s="18">
        <v>4</v>
      </c>
    </row>
    <row r="170" spans="1:5">
      <c r="A170" s="10" t="s">
        <v>53</v>
      </c>
      <c r="B170" s="9">
        <v>40745638</v>
      </c>
      <c r="C170" s="10" t="str">
        <f>MID(D170,10,9)</f>
        <v>195/65/R1</v>
      </c>
      <c r="D170" s="19" t="s">
        <v>21</v>
      </c>
      <c r="E170" s="18">
        <v>4</v>
      </c>
    </row>
    <row r="171" spans="1:5">
      <c r="A171" s="10" t="s">
        <v>53</v>
      </c>
      <c r="B171" s="9">
        <v>40714523</v>
      </c>
      <c r="C171" s="10" t="str">
        <f>MID(D171,10,9)</f>
        <v>195/65R15</v>
      </c>
      <c r="D171" s="19" t="s">
        <v>19</v>
      </c>
      <c r="E171" s="18">
        <v>4</v>
      </c>
    </row>
    <row r="172" spans="1:5">
      <c r="A172" s="10" t="s">
        <v>53</v>
      </c>
      <c r="B172" s="9">
        <v>40763777</v>
      </c>
      <c r="C172" s="10" t="str">
        <f>MID(D172,10,9)</f>
        <v>195/65R15</v>
      </c>
      <c r="D172" s="19" t="s">
        <v>26</v>
      </c>
      <c r="E172" s="18">
        <v>4</v>
      </c>
    </row>
    <row r="173" spans="1:5">
      <c r="A173" s="10" t="s">
        <v>53</v>
      </c>
      <c r="B173" s="9">
        <v>40745335</v>
      </c>
      <c r="C173" s="10" t="str">
        <f>MID(D173,10,9)</f>
        <v>205/55R16</v>
      </c>
      <c r="D173" s="19" t="s">
        <v>23</v>
      </c>
      <c r="E173" s="18">
        <v>4</v>
      </c>
    </row>
    <row r="174" spans="1:5">
      <c r="A174" s="10" t="s">
        <v>53</v>
      </c>
      <c r="B174" s="9">
        <v>40714401</v>
      </c>
      <c r="C174" s="10" t="str">
        <f>MID(D174,10,9)</f>
        <v>205/55R16</v>
      </c>
      <c r="D174" s="19" t="s">
        <v>20</v>
      </c>
      <c r="E174" s="18">
        <v>4</v>
      </c>
    </row>
    <row r="175" spans="1:5">
      <c r="A175" s="10" t="s">
        <v>53</v>
      </c>
      <c r="B175" s="9">
        <v>40745640</v>
      </c>
      <c r="C175" s="10" t="str">
        <f>MID(D175,10,9)</f>
        <v>205/60/R1</v>
      </c>
      <c r="D175" s="19" t="s">
        <v>25</v>
      </c>
      <c r="E175" s="18">
        <v>4</v>
      </c>
    </row>
    <row r="176" spans="1:5">
      <c r="A176" s="10" t="s">
        <v>53</v>
      </c>
      <c r="B176" s="9">
        <v>40745183</v>
      </c>
      <c r="C176" s="10" t="str">
        <f>MID(D176,10,9)</f>
        <v>205/60R16</v>
      </c>
      <c r="D176" s="19" t="s">
        <v>27</v>
      </c>
      <c r="E176" s="18">
        <v>4</v>
      </c>
    </row>
    <row r="177" spans="5:5">
      <c r="E177" s="22">
        <f>SUM(E4:E176)</f>
        <v>704</v>
      </c>
    </row>
  </sheetData>
  <autoFilter ref="A3:E176">
    <sortState ref="A4:E177">
      <sortCondition ref="A3:A176"/>
    </sortState>
  </autoFilter>
  <mergeCells count="1">
    <mergeCell ref="A1:E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Шини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</cp:lastModifiedBy>
  <cp:revision>27</cp:revision>
  <dcterms:created xsi:type="dcterms:W3CDTF">2026-10-06T14:10:04Z</dcterms:created>
  <dcterms:modified xsi:type="dcterms:W3CDTF">2026-10-22T16:54:59Z</dcterms:modified>
  <dc:language>uk-UA</dc:language>
</cp:coreProperties>
</file>